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form\OneDrive\Desktop\tesis\Artículos\Artículo_FIPO\GitHub\"/>
    </mc:Choice>
  </mc:AlternateContent>
  <xr:revisionPtr revIDLastSave="0" documentId="13_ncr:1_{80C81F32-34AE-4B54-BC39-296423E782C5}" xr6:coauthVersionLast="47" xr6:coauthVersionMax="47" xr10:uidLastSave="{00000000-0000-0000-0000-000000000000}"/>
  <bookViews>
    <workbookView xWindow="28680" yWindow="-120" windowWidth="20730" windowHeight="11040" activeTab="4" xr2:uid="{00000000-000D-0000-FFFF-FFFF00000000}"/>
  </bookViews>
  <sheets>
    <sheet name="Nomenclature" sheetId="6" r:id="rId1"/>
    <sheet name="Nets_weights_biases" sheetId="1" r:id="rId2"/>
    <sheet name="Activation_functions" sheetId="4" r:id="rId3"/>
    <sheet name="Net_1" sheetId="3" r:id="rId4"/>
    <sheet name="Net_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8" i="3"/>
  <c r="E8" i="5"/>
  <c r="D8" i="5"/>
  <c r="C8" i="5"/>
  <c r="B8" i="5"/>
  <c r="B13" i="5" a="1"/>
  <c r="C25" i="4" a="1"/>
  <c r="B13" i="5" l="1"/>
  <c r="B19" i="5"/>
  <c r="B20" i="5" s="1"/>
  <c r="C25" i="4"/>
  <c r="B25" i="4" a="1"/>
  <c r="B25" i="4"/>
  <c r="C24" i="4" a="1"/>
  <c r="C24" i="4"/>
  <c r="B24" i="4" a="1"/>
  <c r="B24" i="4"/>
  <c r="C23" i="4" a="1"/>
  <c r="C23" i="4"/>
  <c r="B23" i="4" a="1"/>
  <c r="B23" i="4"/>
  <c r="C22" i="4" a="1"/>
  <c r="C22" i="4"/>
  <c r="B22" i="4" a="1"/>
  <c r="B22" i="4"/>
  <c r="C21" i="4" a="1"/>
  <c r="C21" i="4"/>
  <c r="B21" i="4" a="1"/>
  <c r="B21" i="4"/>
  <c r="C20" i="4" a="1"/>
  <c r="C20" i="4"/>
  <c r="B20" i="4" a="1"/>
  <c r="B20" i="4"/>
  <c r="C19" i="4" a="1"/>
  <c r="C19" i="4"/>
  <c r="B19" i="4" a="1"/>
  <c r="B19" i="4"/>
  <c r="C18" i="4" a="1"/>
  <c r="C18" i="4"/>
  <c r="B18" i="4" a="1"/>
  <c r="B18" i="4"/>
  <c r="C17" i="4" a="1"/>
  <c r="C17" i="4"/>
  <c r="B17" i="4" a="1"/>
  <c r="B17" i="4"/>
  <c r="C16" i="4" a="1"/>
  <c r="C16" i="4"/>
  <c r="B16" i="4" a="1"/>
  <c r="B16" i="4"/>
  <c r="C15" i="4" a="1"/>
  <c r="C15" i="4"/>
  <c r="B15" i="4" a="1"/>
  <c r="B15" i="4"/>
  <c r="C14" i="4" a="1"/>
  <c r="C14" i="4"/>
  <c r="B14" i="4" a="1"/>
  <c r="B14" i="4"/>
  <c r="C13" i="4" a="1"/>
  <c r="C13" i="4"/>
  <c r="B13" i="4" a="1"/>
  <c r="B13" i="4"/>
  <c r="C12" i="4" a="1"/>
  <c r="C12" i="4"/>
  <c r="B12" i="4" a="1"/>
  <c r="B12" i="4"/>
  <c r="C11" i="4" a="1"/>
  <c r="C11" i="4"/>
  <c r="B11" i="4" a="1"/>
  <c r="B11" i="4"/>
  <c r="C10" i="4" a="1"/>
  <c r="C10" i="4"/>
  <c r="B10" i="4" a="1"/>
  <c r="B10" i="4"/>
  <c r="C9" i="4" a="1"/>
  <c r="C9" i="4"/>
  <c r="B9" i="4" a="1"/>
  <c r="B9" i="4"/>
  <c r="C8" i="4" a="1"/>
  <c r="C8" i="4"/>
  <c r="B8" i="4" a="1"/>
  <c r="B8" i="4"/>
  <c r="C7" i="4" a="1"/>
  <c r="C7" i="4"/>
  <c r="B7" i="4" a="1"/>
  <c r="B7" i="4"/>
  <c r="C6" i="4" a="1"/>
  <c r="C6" i="4"/>
  <c r="B6" i="4" a="1"/>
  <c r="B6" i="4"/>
  <c r="C5" i="4" a="1"/>
  <c r="C5" i="4"/>
  <c r="B5" i="4" a="1"/>
  <c r="B5" i="4"/>
  <c r="E8" i="3"/>
  <c r="D8" i="3"/>
  <c r="C8" i="3"/>
  <c r="B19" i="3" l="1"/>
  <c r="B2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<sst xmlns="http://schemas.openxmlformats.org/spreadsheetml/2006/main" count="109" uniqueCount="74">
  <si>
    <t>Biases</t>
  </si>
  <si>
    <t>Net 1</t>
  </si>
  <si>
    <t>Net 2</t>
  </si>
  <si>
    <t>m'</t>
  </si>
  <si>
    <t>T'</t>
  </si>
  <si>
    <t>x</t>
  </si>
  <si>
    <t>d'=</t>
  </si>
  <si>
    <t>Weights</t>
  </si>
  <si>
    <r>
      <t>f</t>
    </r>
    <r>
      <rPr>
        <b/>
        <vertAlign val="subscript"/>
        <sz val="11"/>
        <color theme="1"/>
        <rFont val="Calibri"/>
        <family val="2"/>
        <scheme val="minor"/>
      </rPr>
      <t>HL</t>
    </r>
    <r>
      <rPr>
        <b/>
        <sz val="11"/>
        <color theme="1"/>
        <rFont val="Calibri"/>
        <family val="2"/>
        <scheme val="minor"/>
      </rPr>
      <t>(x)=2/(1+exp(-2*x))-1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</si>
  <si>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OL</t>
    </r>
    <r>
      <rPr>
        <b/>
        <sz val="11"/>
        <color theme="1"/>
        <rFont val="Calibri"/>
        <family val="2"/>
        <scheme val="minor"/>
      </rPr>
      <t>(x)=x</t>
    </r>
  </si>
  <si>
    <t>min</t>
  </si>
  <si>
    <t>max</t>
  </si>
  <si>
    <r>
      <t>g</t>
    </r>
    <r>
      <rPr>
        <b/>
        <i/>
        <vertAlign val="subscript"/>
        <sz val="11"/>
        <color theme="1"/>
        <rFont val="Calibri"/>
        <family val="2"/>
        <scheme val="minor"/>
      </rPr>
      <t>1</t>
    </r>
  </si>
  <si>
    <r>
      <t>g</t>
    </r>
    <r>
      <rPr>
        <b/>
        <i/>
        <vertAlign val="subscript"/>
        <sz val="11"/>
        <color theme="1"/>
        <rFont val="Calibri"/>
        <family val="2"/>
        <scheme val="minor"/>
      </rPr>
      <t>2</t>
    </r>
  </si>
  <si>
    <t>draw ratio</t>
  </si>
  <si>
    <t>Nomenclature</t>
  </si>
  <si>
    <t>Layer</t>
  </si>
  <si>
    <r>
      <t xml:space="preserve">Input </t>
    </r>
    <r>
      <rPr>
        <b/>
        <sz val="11"/>
        <color theme="1"/>
        <rFont val="Cambria"/>
        <family val="1"/>
      </rPr>
      <t>→</t>
    </r>
    <r>
      <rPr>
        <b/>
        <sz val="11"/>
        <color theme="1"/>
        <rFont val="Calibri"/>
        <family val="2"/>
        <scheme val="minor"/>
      </rPr>
      <t xml:space="preserve"> Hidden1</t>
    </r>
  </si>
  <si>
    <r>
      <t xml:space="preserve">Hidden1 </t>
    </r>
    <r>
      <rPr>
        <b/>
        <sz val="11"/>
        <color theme="1"/>
        <rFont val="Cambria"/>
        <family val="1"/>
      </rPr>
      <t>→</t>
    </r>
    <r>
      <rPr>
        <b/>
        <sz val="11"/>
        <color theme="1"/>
        <rFont val="Calibri"/>
        <family val="2"/>
        <scheme val="minor"/>
      </rPr>
      <t xml:space="preserve"> Hidden2</t>
    </r>
  </si>
  <si>
    <r>
      <t xml:space="preserve">Hidden2 </t>
    </r>
    <r>
      <rPr>
        <b/>
        <sz val="11"/>
        <color theme="1"/>
        <rFont val="Cambria"/>
        <family val="1"/>
      </rPr>
      <t>→</t>
    </r>
    <r>
      <rPr>
        <b/>
        <sz val="11"/>
        <color theme="1"/>
        <rFont val="Calibri"/>
        <family val="2"/>
        <scheme val="minor"/>
      </rPr>
      <t xml:space="preserve"> Output</t>
    </r>
  </si>
  <si>
    <r>
      <t xml:space="preserve">Hidden </t>
    </r>
    <r>
      <rPr>
        <b/>
        <sz val="11"/>
        <color theme="1"/>
        <rFont val="Cambria"/>
        <family val="1"/>
      </rPr>
      <t>→</t>
    </r>
    <r>
      <rPr>
        <b/>
        <sz val="11"/>
        <color theme="1"/>
        <rFont val="Calibri"/>
        <family val="2"/>
        <scheme val="minor"/>
      </rPr>
      <t xml:space="preserve"> Output</t>
    </r>
  </si>
  <si>
    <r>
      <t xml:space="preserve">Input </t>
    </r>
    <r>
      <rPr>
        <b/>
        <sz val="11"/>
        <color theme="1"/>
        <rFont val="Cambria"/>
        <family val="1"/>
      </rPr>
      <t>→</t>
    </r>
    <r>
      <rPr>
        <b/>
        <sz val="11"/>
        <color theme="1"/>
        <rFont val="Calibri"/>
        <family val="2"/>
        <scheme val="minor"/>
      </rPr>
      <t xml:space="preserve"> Hidden (neuron1)</t>
    </r>
  </si>
  <si>
    <r>
      <t xml:space="preserve">Input </t>
    </r>
    <r>
      <rPr>
        <b/>
        <sz val="11"/>
        <color theme="1"/>
        <rFont val="Cambria"/>
        <family val="1"/>
      </rPr>
      <t>→</t>
    </r>
    <r>
      <rPr>
        <b/>
        <sz val="11"/>
        <color theme="1"/>
        <rFont val="Calibri"/>
        <family val="2"/>
        <scheme val="minor"/>
      </rPr>
      <t xml:space="preserve"> Hidden (neuron2)</t>
    </r>
  </si>
  <si>
    <t>Trained Neural Network Parameters</t>
  </si>
  <si>
    <t>INPUT VARIABLES</t>
  </si>
  <si>
    <t>NORMALIZATION</t>
  </si>
  <si>
    <t>DENORMALIZATION</t>
  </si>
  <si>
    <t>ANN OUTPUT (normalized)</t>
  </si>
  <si>
    <t>output range (training data)</t>
  </si>
  <si>
    <t>ANN architecture</t>
  </si>
  <si>
    <t>4 → 1 → 1 → 1</t>
  </si>
  <si>
    <t>4 → 2 → 1</t>
  </si>
  <si>
    <t>The spreadsheet performs normalization to [-1,1] before ANN evaluation.</t>
  </si>
  <si>
    <t>Notes:</t>
  </si>
  <si>
    <t>Inputs must be provided in physical units in the yellow cells.</t>
  </si>
  <si>
    <t>(predicted fiber attenuation)</t>
  </si>
  <si>
    <t>MLP model for predicting PP attenuation</t>
  </si>
  <si>
    <t>MLP model for predicting HMA attenuation</t>
  </si>
  <si>
    <t>tansig (hidden layer) → purelin (output)</t>
  </si>
  <si>
    <t>tansig (hidden layer 1)→ tansig (hidden layer 2) → purelin (output)</t>
  </si>
  <si>
    <t>Note:</t>
  </si>
  <si>
    <t>Illustrative values of the activation functions.</t>
  </si>
  <si>
    <t>These values are not used in the ANN calculations.</t>
  </si>
  <si>
    <r>
      <t>Hidden layers' activation function (f</t>
    </r>
    <r>
      <rPr>
        <vertAlign val="subscript"/>
        <sz val="11"/>
        <color theme="1"/>
        <rFont val="Calibri"/>
        <family val="2"/>
        <scheme val="minor"/>
      </rPr>
      <t>HL</t>
    </r>
    <r>
      <rPr>
        <sz val="11"/>
        <color theme="1"/>
        <rFont val="Calibri"/>
        <family val="2"/>
        <scheme val="minor"/>
      </rPr>
      <t xml:space="preserve">): </t>
    </r>
    <r>
      <rPr>
        <i/>
        <sz val="11"/>
        <color theme="1"/>
        <rFont val="Calibri"/>
        <family val="2"/>
        <scheme val="minor"/>
      </rPr>
      <t>tangent sigmoid</t>
    </r>
    <r>
      <rPr>
        <sz val="11"/>
        <color theme="1"/>
        <rFont val="Calibri"/>
        <family val="2"/>
        <scheme val="minor"/>
      </rPr>
      <t xml:space="preserve"> (tansig)</t>
    </r>
  </si>
  <si>
    <r>
      <t>Output layer activation function  (f</t>
    </r>
    <r>
      <rPr>
        <vertAlign val="subscript"/>
        <sz val="11"/>
        <color theme="1"/>
        <rFont val="Calibri"/>
        <family val="2"/>
        <scheme val="minor"/>
      </rPr>
      <t>OL</t>
    </r>
    <r>
      <rPr>
        <sz val="11"/>
        <color theme="1"/>
        <rFont val="Calibri"/>
        <family val="2"/>
        <scheme val="minor"/>
      </rPr>
      <t xml:space="preserve">): </t>
    </r>
    <r>
      <rPr>
        <i/>
        <sz val="11"/>
        <color theme="1"/>
        <rFont val="Calibri"/>
        <family val="2"/>
        <scheme val="minor"/>
      </rPr>
      <t>linear</t>
    </r>
    <r>
      <rPr>
        <sz val="11"/>
        <color theme="1"/>
        <rFont val="Calibri"/>
        <family val="2"/>
        <scheme val="minor"/>
      </rPr>
      <t xml:space="preserve"> (purelin)</t>
    </r>
  </si>
  <si>
    <t>Subscripts</t>
  </si>
  <si>
    <t>a : Air</t>
  </si>
  <si>
    <t>f : Fiber</t>
  </si>
  <si>
    <t>Greek letters</t>
  </si>
  <si>
    <t>Acronyms</t>
  </si>
  <si>
    <t>ANN : Artificial neural network</t>
  </si>
  <si>
    <t>BPNN : Back-propagation neural network</t>
  </si>
  <si>
    <t>HMA : Hot-melt adhesive</t>
  </si>
  <si>
    <t>MB : Melt-blowing</t>
  </si>
  <si>
    <t>MLP : Multilayer perceptron network</t>
  </si>
  <si>
    <t>PP : Polypropylene</t>
  </si>
  <si>
    <r>
      <rPr>
        <i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: Neuron bias</t>
    </r>
  </si>
  <si>
    <r>
      <rPr>
        <i/>
        <sz val="11"/>
        <color theme="1"/>
        <rFont val="Calibri"/>
        <family val="2"/>
        <scheme val="minor"/>
      </rPr>
      <t xml:space="preserve">d' </t>
    </r>
    <r>
      <rPr>
        <sz val="11"/>
        <color theme="1"/>
        <rFont val="Calibri"/>
        <family val="2"/>
        <scheme val="minor"/>
      </rPr>
      <t>: Fiber drawing ratio</t>
    </r>
  </si>
  <si>
    <r>
      <rPr>
        <i/>
        <sz val="11"/>
        <color theme="1"/>
        <rFont val="Calibri"/>
        <family val="2"/>
        <scheme val="minor"/>
      </rPr>
      <t>d</t>
    </r>
    <r>
      <rPr>
        <i/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: Fiber diameter, m</t>
    </r>
  </si>
  <si>
    <r>
      <rPr>
        <i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: Polymer exit to air exit distance, m</t>
    </r>
  </si>
  <si>
    <r>
      <rPr>
        <i/>
        <sz val="11"/>
        <color theme="1"/>
        <rFont val="Calibri"/>
        <family val="2"/>
        <scheme val="minor"/>
      </rPr>
      <t xml:space="preserve">f </t>
    </r>
    <r>
      <rPr>
        <sz val="11"/>
        <color theme="1"/>
        <rFont val="Calibri"/>
        <family val="2"/>
        <scheme val="minor"/>
      </rPr>
      <t>: Neuron transfer function</t>
    </r>
  </si>
  <si>
    <r>
      <rPr>
        <i/>
        <sz val="11"/>
        <color theme="1"/>
        <rFont val="Calibri"/>
        <family val="2"/>
        <scheme val="minor"/>
      </rPr>
      <t>L</t>
    </r>
    <r>
      <rPr>
        <i/>
        <vertAlign val="subscript"/>
        <sz val="11"/>
        <color theme="1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: Polymer exit hydraulic diameter, m</t>
    </r>
  </si>
  <si>
    <r>
      <rPr>
        <i/>
        <sz val="11"/>
        <color theme="1"/>
        <rFont val="Calibri"/>
        <family val="2"/>
        <scheme val="minor"/>
      </rPr>
      <t>L</t>
    </r>
    <r>
      <rPr>
        <i/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: Air exit hydraulic diameter, m</t>
    </r>
  </si>
  <si>
    <r>
      <rPr>
        <i/>
        <sz val="11"/>
        <color theme="1"/>
        <rFont val="Calibri"/>
        <family val="2"/>
        <scheme val="minor"/>
      </rPr>
      <t>ṁ</t>
    </r>
    <r>
      <rPr>
        <i/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: Air mass flow rate, kg/s</t>
    </r>
  </si>
  <si>
    <r>
      <rPr>
        <i/>
        <sz val="11"/>
        <color theme="1"/>
        <rFont val="Calibri"/>
        <family val="2"/>
        <scheme val="minor"/>
      </rPr>
      <t>ṁ</t>
    </r>
    <r>
      <rPr>
        <i/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: Polymer mass flow rate, kg/s</t>
    </r>
  </si>
  <si>
    <r>
      <rPr>
        <i/>
        <sz val="11"/>
        <color theme="1"/>
        <rFont val="Calibri"/>
        <family val="2"/>
        <scheme val="minor"/>
      </rPr>
      <t>N</t>
    </r>
    <r>
      <rPr>
        <i/>
        <vertAlign val="subscript"/>
        <sz val="11"/>
        <color theme="1"/>
        <rFont val="Calibri"/>
        <family val="2"/>
        <scheme val="minor"/>
      </rPr>
      <t>a/f</t>
    </r>
    <r>
      <rPr>
        <sz val="11"/>
        <color theme="1"/>
        <rFont val="Calibri"/>
        <family val="2"/>
        <scheme val="minor"/>
      </rPr>
      <t xml:space="preserve"> : Number of air exits per polymer exit</t>
    </r>
  </si>
  <si>
    <r>
      <rPr>
        <i/>
        <sz val="11"/>
        <color theme="1"/>
        <rFont val="Calibri"/>
        <family val="2"/>
        <scheme val="minor"/>
      </rPr>
      <t>T</t>
    </r>
    <r>
      <rPr>
        <i/>
        <vertAlign val="subscript"/>
        <sz val="11"/>
        <color theme="1"/>
        <rFont val="Calibri"/>
        <family val="2"/>
        <scheme val="minor"/>
      </rPr>
      <t>amb</t>
    </r>
    <r>
      <rPr>
        <sz val="11"/>
        <color theme="1"/>
        <rFont val="Calibri"/>
        <family val="2"/>
        <scheme val="minor"/>
      </rPr>
      <t xml:space="preserve"> : Ambient temperature, K</t>
    </r>
  </si>
  <si>
    <r>
      <rPr>
        <i/>
        <sz val="11"/>
        <color theme="1"/>
        <rFont val="Calibri"/>
        <family val="2"/>
        <scheme val="minor"/>
      </rPr>
      <t>T</t>
    </r>
    <r>
      <rPr>
        <i/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: Air temperature, K</t>
    </r>
  </si>
  <si>
    <r>
      <rPr>
        <i/>
        <sz val="11"/>
        <color theme="1"/>
        <rFont val="Calibri"/>
        <family val="2"/>
        <scheme val="minor"/>
      </rPr>
      <t>T</t>
    </r>
    <r>
      <rPr>
        <i/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: Polymer temperature, K</t>
    </r>
  </si>
  <si>
    <r>
      <rPr>
        <i/>
        <sz val="11"/>
        <color theme="1"/>
        <rFont val="Calibri"/>
        <family val="2"/>
        <scheme val="minor"/>
      </rPr>
      <t>g</t>
    </r>
    <r>
      <rPr>
        <i/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tan(</t>
    </r>
    <r>
      <rPr>
        <i/>
        <sz val="11"/>
        <color theme="1"/>
        <rFont val="Calibri"/>
        <family val="2"/>
        <scheme val="minor"/>
      </rPr>
      <t>ψ</t>
    </r>
    <r>
      <rPr>
        <sz val="11"/>
        <color theme="1"/>
        <rFont val="Calibri"/>
        <family val="2"/>
        <scheme val="minor"/>
      </rPr>
      <t>)·</t>
    </r>
    <r>
      <rPr>
        <i/>
        <sz val="11"/>
        <color theme="1"/>
        <rFont val="Calibri"/>
        <family val="2"/>
        <scheme val="minor"/>
      </rPr>
      <t>L</t>
    </r>
    <r>
      <rPr>
        <i/>
        <vertAlign val="subscript"/>
        <sz val="11"/>
        <color theme="1"/>
        <rFont val="Calibri"/>
        <family val="2"/>
        <scheme val="minor"/>
      </rPr>
      <t>Rf</t>
    </r>
    <r>
      <rPr>
        <i/>
        <sz val="11"/>
        <color theme="1"/>
        <rFont val="Calibri"/>
        <family val="2"/>
        <scheme val="minor"/>
      </rPr>
      <t>/D</t>
    </r>
    <r>
      <rPr>
        <sz val="11"/>
        <color theme="1"/>
        <rFont val="Calibri"/>
        <family val="2"/>
        <scheme val="minor"/>
      </rPr>
      <t xml:space="preserve"> : Nozzle dimensionless air impact point</t>
    </r>
  </si>
  <si>
    <r>
      <rPr>
        <i/>
        <sz val="11"/>
        <color theme="1"/>
        <rFont val="Calibri"/>
        <family val="2"/>
        <scheme val="minor"/>
      </rPr>
      <t>g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(</t>
    </r>
    <r>
      <rPr>
        <i/>
        <sz val="11"/>
        <color theme="1"/>
        <rFont val="Calibri"/>
        <family val="2"/>
        <scheme val="minor"/>
      </rPr>
      <t>L</t>
    </r>
    <r>
      <rPr>
        <i/>
        <vertAlign val="subscript"/>
        <sz val="11"/>
        <color theme="1"/>
        <rFont val="Calibri"/>
        <family val="2"/>
        <scheme val="minor"/>
      </rPr>
      <t>Rf</t>
    </r>
    <r>
      <rPr>
        <i/>
        <sz val="11"/>
        <color theme="1"/>
        <rFont val="Calibri"/>
        <family val="2"/>
        <scheme val="minor"/>
      </rPr>
      <t>/L</t>
    </r>
    <r>
      <rPr>
        <i/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·(</t>
    </r>
    <r>
      <rPr>
        <i/>
        <sz val="11"/>
        <color theme="1"/>
        <rFont val="Calibri"/>
        <family val="2"/>
        <scheme val="minor"/>
      </rPr>
      <t>1/N</t>
    </r>
    <r>
      <rPr>
        <i/>
        <vertAlign val="subscript"/>
        <sz val="11"/>
        <color theme="1"/>
        <rFont val="Calibri"/>
        <family val="2"/>
        <scheme val="minor"/>
      </rPr>
      <t>a/f</t>
    </r>
    <r>
      <rPr>
        <sz val="11"/>
        <color theme="1"/>
        <rFont val="Calibri"/>
        <family val="2"/>
        <scheme val="minor"/>
      </rPr>
      <t>) : Nozzle polymer-to-air area ratio</t>
    </r>
  </si>
  <si>
    <r>
      <rPr>
        <i/>
        <sz val="11"/>
        <color theme="1"/>
        <rFont val="Calibri"/>
        <family val="2"/>
        <scheme val="minor"/>
      </rPr>
      <t>m'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ṁ</t>
    </r>
    <r>
      <rPr>
        <i/>
        <vertAlign val="subscript"/>
        <sz val="11"/>
        <color theme="1"/>
        <rFont val="Calibri"/>
        <family val="2"/>
        <scheme val="minor"/>
      </rPr>
      <t>a</t>
    </r>
    <r>
      <rPr>
        <i/>
        <sz val="11"/>
        <color theme="1"/>
        <rFont val="Calibri"/>
        <family val="2"/>
        <scheme val="minor"/>
      </rPr>
      <t>/ṁ</t>
    </r>
    <r>
      <rPr>
        <i/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: Air–polymer flux ratio</t>
    </r>
  </si>
  <si>
    <r>
      <rPr>
        <i/>
        <sz val="11"/>
        <color theme="1"/>
        <rFont val="Calibri"/>
        <family val="2"/>
        <scheme val="minor"/>
      </rPr>
      <t xml:space="preserve">T' = 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T</t>
    </r>
    <r>
      <rPr>
        <i/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+ </t>
    </r>
    <r>
      <rPr>
        <i/>
        <sz val="11"/>
        <color theme="1"/>
        <rFont val="Calibri"/>
        <family val="2"/>
        <scheme val="minor"/>
      </rPr>
      <t>T</t>
    </r>
    <r>
      <rPr>
        <i/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)/(</t>
    </r>
    <r>
      <rPr>
        <i/>
        <sz val="11"/>
        <color theme="1"/>
        <rFont val="Calibri"/>
        <family val="2"/>
        <scheme val="minor"/>
      </rPr>
      <t>2T</t>
    </r>
    <r>
      <rPr>
        <i/>
        <vertAlign val="subscript"/>
        <sz val="11"/>
        <color theme="1"/>
        <rFont val="Calibri"/>
        <family val="2"/>
        <scheme val="minor"/>
      </rPr>
      <t>amb</t>
    </r>
    <r>
      <rPr>
        <sz val="11"/>
        <color theme="1"/>
        <rFont val="Calibri"/>
        <family val="2"/>
        <scheme val="minor"/>
      </rPr>
      <t>) : Temperature ratio</t>
    </r>
  </si>
  <si>
    <r>
      <rPr>
        <i/>
        <sz val="11"/>
        <color theme="1"/>
        <rFont val="Calibri"/>
        <family val="2"/>
        <scheme val="minor"/>
      </rPr>
      <t>ψ</t>
    </r>
    <r>
      <rPr>
        <sz val="11"/>
        <color theme="1"/>
        <rFont val="Calibri"/>
        <family val="2"/>
        <scheme val="minor"/>
      </rPr>
      <t xml:space="preserve"> : Air duct tilt angle, rad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</si>
</sst>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mbria"/>
      <family val="1"/>
    </font>
    <font>
      <i/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64" fontId="3" fillId="3" borderId="0" xfId="0" applyNumberFormat="1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9" fillId="0" borderId="0" xfId="0" applyFont="1"/>
    <xf numFmtId="0" fontId="1" fillId="0" borderId="2" xfId="0" applyFont="1" applyBorder="1" applyAlignment="1">
      <alignment horizontal="right"/>
    </xf>
    <xf numFmtId="0" fontId="6" fillId="0" borderId="0" xfId="0" applyFont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Activation functions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tangent sigmoid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Activation_functions!$A$5:$A$25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xVal>
          <c:yVal>
            <c:numRef>
              <c:f>Activation_functions!$B$5:$B$25</c:f>
              <c:numCache>
                <c:formatCode>0.00</c:formatCode>
                <c:ptCount val="21"/>
                <c:pt idx="0">
                  <c:v>-0.76159415595576485</c:v>
                </c:pt>
                <c:pt idx="1">
                  <c:v>-0.71629787019902447</c:v>
                </c:pt>
                <c:pt idx="2">
                  <c:v>-0.66403677026784902</c:v>
                </c:pt>
                <c:pt idx="3">
                  <c:v>-0.6043677771171635</c:v>
                </c:pt>
                <c:pt idx="4">
                  <c:v>-0.5370495669980353</c:v>
                </c:pt>
                <c:pt idx="5">
                  <c:v>-0.46211715726000974</c:v>
                </c:pt>
                <c:pt idx="6">
                  <c:v>-0.37994896225522495</c:v>
                </c:pt>
                <c:pt idx="7">
                  <c:v>-0.2913126124515909</c:v>
                </c:pt>
                <c:pt idx="8">
                  <c:v>-0.19737532022490401</c:v>
                </c:pt>
                <c:pt idx="9">
                  <c:v>-9.9667994624955819E-2</c:v>
                </c:pt>
                <c:pt idx="10">
                  <c:v>0</c:v>
                </c:pt>
                <c:pt idx="11">
                  <c:v>9.9667994624955847E-2</c:v>
                </c:pt>
                <c:pt idx="12">
                  <c:v>0.19737532022490398</c:v>
                </c:pt>
                <c:pt idx="13">
                  <c:v>0.29131261245159085</c:v>
                </c:pt>
                <c:pt idx="14">
                  <c:v>0.3799489622552249</c:v>
                </c:pt>
                <c:pt idx="15">
                  <c:v>0.46211715726000974</c:v>
                </c:pt>
                <c:pt idx="16">
                  <c:v>0.53704956699803519</c:v>
                </c:pt>
                <c:pt idx="17">
                  <c:v>0.6043677771171635</c:v>
                </c:pt>
                <c:pt idx="18">
                  <c:v>0.66403677026784902</c:v>
                </c:pt>
                <c:pt idx="19">
                  <c:v>0.71629787019902447</c:v>
                </c:pt>
                <c:pt idx="20">
                  <c:v>0.76159415595576485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62-4060-87DA-788EF56530C8}"/>
            </c:ext>
          </c:extLst>
        </c:ser>
        <c:ser>
          <c:idx val="1"/>
          <c:order val="1"/>
          <c:tx>
            <c:v>linear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Activation_functions!$A$5:$A$25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xVal>
          <c:yVal>
            <c:numRef>
              <c:f>Activation_functions!$C$5:$C$25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62-4060-87DA-788EF5653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695359"/>
        <c:axId val="1493695839"/>
      </c:scatterChart>
      <c:valAx>
        <c:axId val="1493695359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3695839"/>
        <c:crosses val="autoZero"/>
        <c:crossBetween val="midCat"/>
      </c:valAx>
      <c:valAx>
        <c:axId val="1493695839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3695359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777240</xdr:colOff>
      <xdr:row>0</xdr:row>
      <xdr:rowOff>175259</xdr:rowOff>
    </xdr:from>
    <xdr:to>
      <xdr:col>9</xdr:col>
      <xdr:colOff>353790</xdr:colOff>
      <xdr:row>24</xdr:row>
      <xdr:rowOff>94709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2CB923-6181-47D1-8A5E-41AE1E9BBEF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558A-3E53-4928-8141-9C0DFDB00F8E}">
  <sheetPr codeName="Hoja2"/>
  <dimension ref="A1:J33"/>
  <sheetViews>
    <sheetView workbookViewId="0">
      <selection activeCell="G11" sqref="G11"/>
    </sheetView>
  </sheetViews>
  <sheetFormatPr baseColWidth="10" defaultRowHeight="14.4" x14ac:dyDescent="0.3"/>
  <sheetData>
    <row r="1" spans="1:10" x14ac:dyDescent="0.3">
      <c r="A1" s="10" t="s">
        <v>15</v>
      </c>
      <c r="G1" s="26"/>
      <c r="H1" s="26"/>
      <c r="I1" s="26"/>
      <c r="J1" s="26"/>
    </row>
    <row r="2" spans="1:10" x14ac:dyDescent="0.3">
      <c r="A2" t="s">
        <v>56</v>
      </c>
    </row>
    <row r="3" spans="1:10" x14ac:dyDescent="0.3">
      <c r="A3" t="s">
        <v>57</v>
      </c>
    </row>
    <row r="4" spans="1:10" ht="15.6" x14ac:dyDescent="0.35">
      <c r="A4" t="s">
        <v>58</v>
      </c>
    </row>
    <row r="5" spans="1:10" x14ac:dyDescent="0.3">
      <c r="A5" t="s">
        <v>59</v>
      </c>
    </row>
    <row r="6" spans="1:10" x14ac:dyDescent="0.3">
      <c r="A6" t="s">
        <v>60</v>
      </c>
    </row>
    <row r="7" spans="1:10" ht="15.6" x14ac:dyDescent="0.35">
      <c r="A7" t="s">
        <v>69</v>
      </c>
    </row>
    <row r="8" spans="1:10" ht="16.8" x14ac:dyDescent="0.35">
      <c r="A8" t="s">
        <v>70</v>
      </c>
    </row>
    <row r="9" spans="1:10" ht="15.6" x14ac:dyDescent="0.35">
      <c r="A9" t="s">
        <v>61</v>
      </c>
    </row>
    <row r="10" spans="1:10" ht="15.6" x14ac:dyDescent="0.35">
      <c r="A10" t="s">
        <v>62</v>
      </c>
    </row>
    <row r="11" spans="1:10" ht="15.6" x14ac:dyDescent="0.35">
      <c r="A11" t="s">
        <v>71</v>
      </c>
    </row>
    <row r="12" spans="1:10" ht="15.6" x14ac:dyDescent="0.35">
      <c r="A12" t="s">
        <v>63</v>
      </c>
    </row>
    <row r="13" spans="1:10" ht="15.6" x14ac:dyDescent="0.35">
      <c r="A13" t="s">
        <v>64</v>
      </c>
    </row>
    <row r="14" spans="1:10" ht="15.6" x14ac:dyDescent="0.35">
      <c r="A14" t="s">
        <v>65</v>
      </c>
    </row>
    <row r="15" spans="1:10" ht="15.6" x14ac:dyDescent="0.35">
      <c r="A15" t="s">
        <v>72</v>
      </c>
    </row>
    <row r="16" spans="1:10" ht="15.6" x14ac:dyDescent="0.35">
      <c r="A16" t="s">
        <v>66</v>
      </c>
    </row>
    <row r="17" spans="1:1" ht="15.6" x14ac:dyDescent="0.35">
      <c r="A17" t="s">
        <v>67</v>
      </c>
    </row>
    <row r="18" spans="1:1" ht="15.6" x14ac:dyDescent="0.35">
      <c r="A18" t="s">
        <v>68</v>
      </c>
    </row>
    <row r="20" spans="1:1" x14ac:dyDescent="0.3">
      <c r="A20" s="10" t="s">
        <v>45</v>
      </c>
    </row>
    <row r="21" spans="1:1" x14ac:dyDescent="0.3">
      <c r="A21" t="s">
        <v>46</v>
      </c>
    </row>
    <row r="22" spans="1:1" x14ac:dyDescent="0.3">
      <c r="A22" t="s">
        <v>47</v>
      </c>
    </row>
    <row r="23" spans="1:1" x14ac:dyDescent="0.3">
      <c r="A23" s="10"/>
    </row>
    <row r="24" spans="1:1" x14ac:dyDescent="0.3">
      <c r="A24" s="10" t="s">
        <v>48</v>
      </c>
    </row>
    <row r="25" spans="1:1" x14ac:dyDescent="0.3">
      <c r="A25" t="s">
        <v>73</v>
      </c>
    </row>
    <row r="26" spans="1:1" x14ac:dyDescent="0.3">
      <c r="A26" s="10"/>
    </row>
    <row r="27" spans="1:1" x14ac:dyDescent="0.3">
      <c r="A27" s="10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21"/>
  <sheetViews>
    <sheetView workbookViewId="0">
      <selection activeCell="I4" sqref="I4"/>
    </sheetView>
  </sheetViews>
  <sheetFormatPr baseColWidth="10" defaultColWidth="8.88671875" defaultRowHeight="14.4" x14ac:dyDescent="0.3"/>
  <cols>
    <col min="1" max="1" width="23.77734375" bestFit="1" customWidth="1"/>
    <col min="2" max="6" width="12.77734375" customWidth="1"/>
    <col min="7" max="20" width="10.77734375" customWidth="1"/>
  </cols>
  <sheetData>
    <row r="1" spans="1:10" x14ac:dyDescent="0.3">
      <c r="A1" s="10" t="s">
        <v>23</v>
      </c>
    </row>
    <row r="2" spans="1:10" x14ac:dyDescent="0.3">
      <c r="H2" s="2"/>
      <c r="I2" s="2"/>
      <c r="J2" s="2"/>
    </row>
    <row r="3" spans="1:10" x14ac:dyDescent="0.3">
      <c r="A3" s="23" t="s">
        <v>1</v>
      </c>
      <c r="B3" s="23"/>
      <c r="C3" s="23"/>
      <c r="D3" s="23"/>
      <c r="E3" s="23"/>
      <c r="F3" s="23"/>
    </row>
    <row r="4" spans="1:10" x14ac:dyDescent="0.3">
      <c r="A4" s="21" t="s">
        <v>16</v>
      </c>
      <c r="B4" s="23" t="s">
        <v>7</v>
      </c>
      <c r="C4" s="23"/>
      <c r="D4" s="23"/>
      <c r="E4" s="23"/>
      <c r="F4" s="4" t="s">
        <v>0</v>
      </c>
    </row>
    <row r="5" spans="1:10" x14ac:dyDescent="0.3">
      <c r="A5" s="3" t="s">
        <v>17</v>
      </c>
      <c r="B5" s="1">
        <v>0.54520000000000002</v>
      </c>
      <c r="C5" s="1">
        <v>0.1421</v>
      </c>
      <c r="D5" s="1">
        <v>0.36959999999999998</v>
      </c>
      <c r="E5" s="1">
        <v>-0.23749999999999999</v>
      </c>
      <c r="F5" s="1">
        <v>1.0358000000000001</v>
      </c>
    </row>
    <row r="6" spans="1:10" x14ac:dyDescent="0.3">
      <c r="A6" s="3" t="s">
        <v>18</v>
      </c>
      <c r="B6" s="24">
        <v>1.6153999999999999</v>
      </c>
      <c r="C6" s="24"/>
      <c r="D6" s="24"/>
      <c r="E6" s="24"/>
      <c r="F6" s="1">
        <v>-0.42659999999999998</v>
      </c>
    </row>
    <row r="7" spans="1:10" x14ac:dyDescent="0.3">
      <c r="A7" s="5" t="s">
        <v>19</v>
      </c>
      <c r="B7" s="25">
        <v>-2.2141000000000002</v>
      </c>
      <c r="C7" s="25"/>
      <c r="D7" s="25"/>
      <c r="E7" s="25"/>
      <c r="F7" s="6">
        <v>0.78669999999999995</v>
      </c>
    </row>
    <row r="9" spans="1:10" x14ac:dyDescent="0.3">
      <c r="A9" s="23" t="s">
        <v>2</v>
      </c>
      <c r="B9" s="23"/>
      <c r="C9" s="23"/>
      <c r="D9" s="23"/>
      <c r="E9" s="23"/>
      <c r="F9" s="23"/>
    </row>
    <row r="10" spans="1:10" x14ac:dyDescent="0.3">
      <c r="A10" s="21" t="s">
        <v>16</v>
      </c>
      <c r="B10" s="23" t="s">
        <v>7</v>
      </c>
      <c r="C10" s="23"/>
      <c r="D10" s="23"/>
      <c r="E10" s="23"/>
      <c r="F10" s="4" t="s">
        <v>0</v>
      </c>
    </row>
    <row r="11" spans="1:10" x14ac:dyDescent="0.3">
      <c r="A11" s="3" t="s">
        <v>21</v>
      </c>
      <c r="B11" s="1">
        <v>-7.1596000000000002</v>
      </c>
      <c r="C11" s="1">
        <v>-5.4097999999999997</v>
      </c>
      <c r="D11" s="1">
        <v>0.17349999999999999</v>
      </c>
      <c r="E11" s="1">
        <v>-3.5206</v>
      </c>
      <c r="F11" s="1">
        <v>1.7581</v>
      </c>
    </row>
    <row r="12" spans="1:10" x14ac:dyDescent="0.3">
      <c r="A12" s="3" t="s">
        <v>22</v>
      </c>
      <c r="B12" s="1">
        <v>-0.13020000000000001</v>
      </c>
      <c r="C12" s="1">
        <v>-0.18390000000000001</v>
      </c>
      <c r="D12" s="1">
        <v>-0.26879999999999998</v>
      </c>
      <c r="E12" s="1">
        <v>0.1132</v>
      </c>
      <c r="F12" s="1">
        <v>0.65229999999999999</v>
      </c>
    </row>
    <row r="13" spans="1:10" x14ac:dyDescent="0.3">
      <c r="A13" s="5" t="s">
        <v>20</v>
      </c>
      <c r="B13" s="6">
        <v>0.69799999999999995</v>
      </c>
      <c r="C13" s="6">
        <v>4.1792999999999996</v>
      </c>
      <c r="D13" s="6"/>
      <c r="E13" s="6"/>
      <c r="F13" s="6">
        <v>-2.9624000000000001</v>
      </c>
    </row>
    <row r="21" spans="2:5" x14ac:dyDescent="0.3">
      <c r="B21" s="1"/>
      <c r="C21" s="1"/>
      <c r="D21" s="1"/>
      <c r="E21" s="1"/>
    </row>
  </sheetData>
  <mergeCells count="6">
    <mergeCell ref="A3:F3"/>
    <mergeCell ref="A9:F9"/>
    <mergeCell ref="B10:E10"/>
    <mergeCell ref="B4:E4"/>
    <mergeCell ref="B6:E6"/>
    <mergeCell ref="B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D8ED-2B83-49EC-B65E-AF0FEC3B2B3F}">
  <sheetPr codeName="Hoja3"/>
  <dimension ref="A1:C29"/>
  <sheetViews>
    <sheetView workbookViewId="0">
      <selection activeCell="M9" sqref="M9"/>
    </sheetView>
  </sheetViews>
  <sheetFormatPr baseColWidth="10" defaultRowHeight="14.4" x14ac:dyDescent="0.3"/>
  <cols>
    <col min="1" max="3" width="22.77734375" customWidth="1"/>
  </cols>
  <sheetData>
    <row r="1" spans="1:3" ht="15.6" x14ac:dyDescent="0.35">
      <c r="A1" t="s">
        <v>43</v>
      </c>
    </row>
    <row r="2" spans="1:3" ht="15.6" x14ac:dyDescent="0.35">
      <c r="A2" t="s">
        <v>44</v>
      </c>
    </row>
    <row r="4" spans="1:3" ht="15.6" x14ac:dyDescent="0.35">
      <c r="A4" s="7" t="s">
        <v>5</v>
      </c>
      <c r="B4" s="7" t="s">
        <v>8</v>
      </c>
      <c r="C4" s="7" t="s">
        <v>9</v>
      </c>
    </row>
    <row r="5" spans="1:3" x14ac:dyDescent="0.3">
      <c r="A5" s="1">
        <v>-1</v>
      </c>
      <c r="B5" s="9" cm="1">
        <f t="array" ref="B5">f_HL(A5)</f>
        <v>-0.76159415595576485</v>
      </c>
      <c r="C5" s="1" cm="1">
        <f t="array" ref="C5">f_OL(A5)</f>
        <v>-1</v>
      </c>
    </row>
    <row r="6" spans="1:3" x14ac:dyDescent="0.3">
      <c r="A6" s="1">
        <v>-0.9</v>
      </c>
      <c r="B6" s="9" cm="1">
        <f t="array" ref="B6">f_HL(A6)</f>
        <v>-0.71629787019902447</v>
      </c>
      <c r="C6" s="1" cm="1">
        <f t="array" ref="C6">f_OL(A6)</f>
        <v>-0.9</v>
      </c>
    </row>
    <row r="7" spans="1:3" x14ac:dyDescent="0.3">
      <c r="A7" s="1">
        <v>-0.8</v>
      </c>
      <c r="B7" s="9" cm="1">
        <f t="array" ref="B7">f_HL(A7)</f>
        <v>-0.66403677026784902</v>
      </c>
      <c r="C7" s="1" cm="1">
        <f t="array" ref="C7">f_OL(A7)</f>
        <v>-0.8</v>
      </c>
    </row>
    <row r="8" spans="1:3" x14ac:dyDescent="0.3">
      <c r="A8" s="1">
        <v>-0.7</v>
      </c>
      <c r="B8" s="9" cm="1">
        <f t="array" ref="B8">f_HL(A8)</f>
        <v>-0.6043677771171635</v>
      </c>
      <c r="C8" s="1" cm="1">
        <f t="array" ref="C8">f_OL(A8)</f>
        <v>-0.7</v>
      </c>
    </row>
    <row r="9" spans="1:3" x14ac:dyDescent="0.3">
      <c r="A9" s="1">
        <v>-0.6</v>
      </c>
      <c r="B9" s="9" cm="1">
        <f t="array" ref="B9">f_HL(A9)</f>
        <v>-0.5370495669980353</v>
      </c>
      <c r="C9" s="1" cm="1">
        <f t="array" ref="C9">f_OL(A9)</f>
        <v>-0.6</v>
      </c>
    </row>
    <row r="10" spans="1:3" x14ac:dyDescent="0.3">
      <c r="A10" s="1">
        <v>-0.5</v>
      </c>
      <c r="B10" s="9" cm="1">
        <f t="array" ref="B10">f_HL(A10)</f>
        <v>-0.46211715726000974</v>
      </c>
      <c r="C10" s="1" cm="1">
        <f t="array" ref="C10">f_OL(A10)</f>
        <v>-0.5</v>
      </c>
    </row>
    <row r="11" spans="1:3" x14ac:dyDescent="0.3">
      <c r="A11" s="1">
        <v>-0.4</v>
      </c>
      <c r="B11" s="9" cm="1">
        <f t="array" ref="B11">f_HL(A11)</f>
        <v>-0.37994896225522495</v>
      </c>
      <c r="C11" s="1" cm="1">
        <f t="array" ref="C11">f_OL(A11)</f>
        <v>-0.4</v>
      </c>
    </row>
    <row r="12" spans="1:3" x14ac:dyDescent="0.3">
      <c r="A12" s="1">
        <v>-0.3</v>
      </c>
      <c r="B12" s="9" cm="1">
        <f t="array" ref="B12">f_HL(A12)</f>
        <v>-0.2913126124515909</v>
      </c>
      <c r="C12" s="1" cm="1">
        <f t="array" ref="C12">f_OL(A12)</f>
        <v>-0.3</v>
      </c>
    </row>
    <row r="13" spans="1:3" x14ac:dyDescent="0.3">
      <c r="A13" s="1">
        <v>-0.2</v>
      </c>
      <c r="B13" s="9" cm="1">
        <f t="array" ref="B13">f_HL(A13)</f>
        <v>-0.19737532022490401</v>
      </c>
      <c r="C13" s="1" cm="1">
        <f t="array" ref="C13">f_OL(A13)</f>
        <v>-0.2</v>
      </c>
    </row>
    <row r="14" spans="1:3" x14ac:dyDescent="0.3">
      <c r="A14" s="1">
        <v>-0.1</v>
      </c>
      <c r="B14" s="9" cm="1">
        <f t="array" ref="B14">f_HL(A14)</f>
        <v>-9.9667994624955819E-2</v>
      </c>
      <c r="C14" s="1" cm="1">
        <f t="array" ref="C14">f_OL(A14)</f>
        <v>-0.1</v>
      </c>
    </row>
    <row r="15" spans="1:3" x14ac:dyDescent="0.3">
      <c r="A15" s="1">
        <v>0</v>
      </c>
      <c r="B15" s="9" cm="1">
        <f t="array" ref="B15">f_HL(A15)</f>
        <v>0</v>
      </c>
      <c r="C15" s="1" cm="1">
        <f t="array" ref="C15">f_OL(A15)</f>
        <v>0</v>
      </c>
    </row>
    <row r="16" spans="1:3" x14ac:dyDescent="0.3">
      <c r="A16" s="1">
        <v>0.1</v>
      </c>
      <c r="B16" s="9" cm="1">
        <f t="array" ref="B16">f_HL(A16)</f>
        <v>9.9667994624955847E-2</v>
      </c>
      <c r="C16" s="1" cm="1">
        <f t="array" ref="C16">f_OL(A16)</f>
        <v>0.1</v>
      </c>
    </row>
    <row r="17" spans="1:3" x14ac:dyDescent="0.3">
      <c r="A17" s="1">
        <v>0.2</v>
      </c>
      <c r="B17" s="9" cm="1">
        <f t="array" ref="B17">f_HL(A17)</f>
        <v>0.19737532022490398</v>
      </c>
      <c r="C17" s="1" cm="1">
        <f t="array" ref="C17">f_OL(A17)</f>
        <v>0.2</v>
      </c>
    </row>
    <row r="18" spans="1:3" x14ac:dyDescent="0.3">
      <c r="A18" s="1">
        <v>0.3</v>
      </c>
      <c r="B18" s="9" cm="1">
        <f t="array" ref="B18">f_HL(A18)</f>
        <v>0.29131261245159085</v>
      </c>
      <c r="C18" s="1" cm="1">
        <f t="array" ref="C18">f_OL(A18)</f>
        <v>0.3</v>
      </c>
    </row>
    <row r="19" spans="1:3" x14ac:dyDescent="0.3">
      <c r="A19" s="1">
        <v>0.4</v>
      </c>
      <c r="B19" s="9" cm="1">
        <f t="array" ref="B19">f_HL(A19)</f>
        <v>0.3799489622552249</v>
      </c>
      <c r="C19" s="1" cm="1">
        <f t="array" ref="C19">f_OL(A19)</f>
        <v>0.4</v>
      </c>
    </row>
    <row r="20" spans="1:3" x14ac:dyDescent="0.3">
      <c r="A20" s="1">
        <v>0.5</v>
      </c>
      <c r="B20" s="9" cm="1">
        <f t="array" ref="B20">f_HL(A20)</f>
        <v>0.46211715726000974</v>
      </c>
      <c r="C20" s="1" cm="1">
        <f t="array" ref="C20">f_OL(A20)</f>
        <v>0.5</v>
      </c>
    </row>
    <row r="21" spans="1:3" x14ac:dyDescent="0.3">
      <c r="A21" s="1">
        <v>0.6</v>
      </c>
      <c r="B21" s="9" cm="1">
        <f t="array" ref="B21">f_HL(A21)</f>
        <v>0.53704956699803519</v>
      </c>
      <c r="C21" s="1" cm="1">
        <f t="array" ref="C21">f_OL(A21)</f>
        <v>0.6</v>
      </c>
    </row>
    <row r="22" spans="1:3" x14ac:dyDescent="0.3">
      <c r="A22" s="1">
        <v>0.7</v>
      </c>
      <c r="B22" s="9" cm="1">
        <f t="array" ref="B22">f_HL(A22)</f>
        <v>0.6043677771171635</v>
      </c>
      <c r="C22" s="1" cm="1">
        <f t="array" ref="C22">f_OL(A22)</f>
        <v>0.7</v>
      </c>
    </row>
    <row r="23" spans="1:3" x14ac:dyDescent="0.3">
      <c r="A23" s="1">
        <v>0.8</v>
      </c>
      <c r="B23" s="9" cm="1">
        <f t="array" ref="B23">f_HL(A23)</f>
        <v>0.66403677026784902</v>
      </c>
      <c r="C23" s="1" cm="1">
        <f t="array" ref="C23">f_OL(A23)</f>
        <v>0.8</v>
      </c>
    </row>
    <row r="24" spans="1:3" x14ac:dyDescent="0.3">
      <c r="A24" s="1">
        <v>0.9</v>
      </c>
      <c r="B24" s="9" cm="1">
        <f t="array" ref="B24">f_HL(A24)</f>
        <v>0.71629787019902447</v>
      </c>
      <c r="C24" s="1" cm="1">
        <f t="array" ref="C24">f_OL(A24)</f>
        <v>0.9</v>
      </c>
    </row>
    <row r="25" spans="1:3" x14ac:dyDescent="0.3">
      <c r="A25" s="1">
        <v>1</v>
      </c>
      <c r="B25" s="9" cm="1">
        <f t="array" ref="B25">f_HL(A25)</f>
        <v>0.76159415595576485</v>
      </c>
      <c r="C25" s="1" cm="1">
        <f t="array" ref="C25">f_OL(A25)</f>
        <v>1</v>
      </c>
    </row>
    <row r="27" spans="1:3" x14ac:dyDescent="0.3">
      <c r="A27" s="10" t="s">
        <v>40</v>
      </c>
    </row>
    <row r="28" spans="1:3" x14ac:dyDescent="0.3">
      <c r="A28" s="22" t="s">
        <v>41</v>
      </c>
    </row>
    <row r="29" spans="1:3" x14ac:dyDescent="0.3">
      <c r="A29" s="22" t="s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7D67-C970-4984-8B3F-24BC98467B25}">
  <sheetPr codeName="Hoja4"/>
  <dimension ref="A1:G24"/>
  <sheetViews>
    <sheetView workbookViewId="0">
      <selection activeCell="G13" sqref="G13"/>
    </sheetView>
  </sheetViews>
  <sheetFormatPr baseColWidth="10" defaultRowHeight="14.4" x14ac:dyDescent="0.3"/>
  <cols>
    <col min="2" max="2" width="11.5546875" customWidth="1"/>
  </cols>
  <sheetData>
    <row r="1" spans="1:7" ht="17.399999999999999" x14ac:dyDescent="0.35">
      <c r="A1" s="20" t="s">
        <v>37</v>
      </c>
      <c r="G1" t="s">
        <v>29</v>
      </c>
    </row>
    <row r="2" spans="1:7" x14ac:dyDescent="0.3">
      <c r="A2" s="10" t="s">
        <v>24</v>
      </c>
      <c r="G2" t="s">
        <v>30</v>
      </c>
    </row>
    <row r="3" spans="1:7" ht="15.6" x14ac:dyDescent="0.35">
      <c r="B3" s="15" t="s">
        <v>3</v>
      </c>
      <c r="C3" s="15" t="s">
        <v>4</v>
      </c>
      <c r="D3" s="15" t="s">
        <v>12</v>
      </c>
      <c r="E3" s="15" t="s">
        <v>13</v>
      </c>
      <c r="G3" t="s">
        <v>39</v>
      </c>
    </row>
    <row r="4" spans="1:7" x14ac:dyDescent="0.3">
      <c r="B4" s="18">
        <v>5.41</v>
      </c>
      <c r="C4" s="18">
        <v>1.5630999999999999</v>
      </c>
      <c r="D4" s="18">
        <v>1.1559999999999999</v>
      </c>
      <c r="E4" s="18">
        <v>0.5</v>
      </c>
    </row>
    <row r="6" spans="1:7" x14ac:dyDescent="0.3">
      <c r="A6" s="10" t="s">
        <v>25</v>
      </c>
    </row>
    <row r="7" spans="1:7" ht="15.6" x14ac:dyDescent="0.35">
      <c r="B7" s="15" t="s">
        <v>3</v>
      </c>
      <c r="C7" s="15" t="s">
        <v>4</v>
      </c>
      <c r="D7" s="15" t="s">
        <v>12</v>
      </c>
      <c r="E7" s="15" t="s">
        <v>13</v>
      </c>
    </row>
    <row r="8" spans="1:7" x14ac:dyDescent="0.3">
      <c r="A8" s="3"/>
      <c r="B8" s="17">
        <f>2*(B4-B9)/(B10-B9)-1</f>
        <v>1</v>
      </c>
      <c r="C8" s="17">
        <f>2*(C4-C9)/(C10-C9)-1</f>
        <v>1</v>
      </c>
      <c r="D8" s="17">
        <f>2*(D4-D9)/(D10-D9)-1</f>
        <v>1</v>
      </c>
      <c r="E8" s="17">
        <f>2*(E4-E9)/(E10-E9)-1</f>
        <v>-1</v>
      </c>
    </row>
    <row r="9" spans="1:7" x14ac:dyDescent="0.3">
      <c r="A9" s="3" t="s">
        <v>10</v>
      </c>
      <c r="B9" s="1">
        <v>1.3</v>
      </c>
      <c r="C9" s="1">
        <v>1.5119</v>
      </c>
      <c r="D9" s="1">
        <v>0.1051</v>
      </c>
      <c r="E9" s="1">
        <v>0.5</v>
      </c>
    </row>
    <row r="10" spans="1:7" x14ac:dyDescent="0.3">
      <c r="A10" s="3" t="s">
        <v>11</v>
      </c>
      <c r="B10" s="1">
        <v>5.41</v>
      </c>
      <c r="C10" s="1">
        <v>1.5630999999999999</v>
      </c>
      <c r="D10" s="1">
        <v>1.1559999999999999</v>
      </c>
      <c r="E10" s="1">
        <v>0.5776</v>
      </c>
    </row>
    <row r="12" spans="1:7" x14ac:dyDescent="0.3">
      <c r="A12" s="10" t="s">
        <v>27</v>
      </c>
    </row>
    <row r="13" spans="1:7" x14ac:dyDescent="0.3">
      <c r="A13" s="14" t="s">
        <v>6</v>
      </c>
      <c r="B13" s="8">
        <f>TANH(TANH(Net_1!B8*Nets_weights_biases!B5+Net_1!C8*Nets_weights_biases!C5+Net_1!D8*Nets_weights_biases!D5+Net_1!E8*Nets_weights_biases!E5+Nets_weights_biases!F5)*Nets_weights_biases!B6+Nets_weights_biases!F6)*Nets_weights_biases!B7+Nets_weights_biases!F7</f>
        <v>-1.0300912621116816</v>
      </c>
    </row>
    <row r="14" spans="1:7" x14ac:dyDescent="0.3">
      <c r="A14" s="10" t="s">
        <v>28</v>
      </c>
    </row>
    <row r="15" spans="1:7" x14ac:dyDescent="0.3">
      <c r="A15" s="3" t="s">
        <v>10</v>
      </c>
      <c r="B15" s="8">
        <v>0.11</v>
      </c>
    </row>
    <row r="16" spans="1:7" x14ac:dyDescent="0.3">
      <c r="A16" s="3" t="s">
        <v>11</v>
      </c>
      <c r="B16" s="1">
        <v>0.41620000000000001</v>
      </c>
    </row>
    <row r="18" spans="1:3" x14ac:dyDescent="0.3">
      <c r="A18" s="10" t="s">
        <v>26</v>
      </c>
    </row>
    <row r="19" spans="1:3" x14ac:dyDescent="0.3">
      <c r="A19" s="14" t="s">
        <v>6</v>
      </c>
      <c r="B19" s="11">
        <f>(B13+1)/2*(B16-B15)+B15</f>
        <v>0.10539302777070156</v>
      </c>
    </row>
    <row r="20" spans="1:3" x14ac:dyDescent="0.3">
      <c r="A20" s="13" t="s">
        <v>14</v>
      </c>
      <c r="B20" s="12">
        <f>B19</f>
        <v>0.10539302777070156</v>
      </c>
      <c r="C20" t="s">
        <v>35</v>
      </c>
    </row>
    <row r="22" spans="1:3" x14ac:dyDescent="0.3">
      <c r="A22" s="10" t="s">
        <v>33</v>
      </c>
    </row>
    <row r="23" spans="1:3" x14ac:dyDescent="0.3">
      <c r="A23" s="22" t="s">
        <v>34</v>
      </c>
    </row>
    <row r="24" spans="1:3" x14ac:dyDescent="0.3">
      <c r="A24" s="2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C78E-11B1-4A9F-B5A5-79F6D67A19F0}">
  <sheetPr codeName="Hoja5"/>
  <dimension ref="A1:G24"/>
  <sheetViews>
    <sheetView tabSelected="1" workbookViewId="0">
      <selection activeCell="H15" sqref="H15"/>
    </sheetView>
  </sheetViews>
  <sheetFormatPr baseColWidth="10" defaultRowHeight="14.4" x14ac:dyDescent="0.3"/>
  <sheetData>
    <row r="1" spans="1:7" ht="17.399999999999999" x14ac:dyDescent="0.35">
      <c r="A1" s="20" t="s">
        <v>36</v>
      </c>
      <c r="G1" t="s">
        <v>29</v>
      </c>
    </row>
    <row r="2" spans="1:7" x14ac:dyDescent="0.3">
      <c r="A2" s="10" t="s">
        <v>24</v>
      </c>
      <c r="G2" t="s">
        <v>31</v>
      </c>
    </row>
    <row r="3" spans="1:7" ht="15.6" x14ac:dyDescent="0.35">
      <c r="A3" s="10"/>
      <c r="B3" s="15" t="s">
        <v>3</v>
      </c>
      <c r="C3" s="15" t="s">
        <v>4</v>
      </c>
      <c r="D3" s="15" t="s">
        <v>12</v>
      </c>
      <c r="E3" s="15" t="s">
        <v>13</v>
      </c>
      <c r="G3" t="s">
        <v>38</v>
      </c>
    </row>
    <row r="4" spans="1:7" x14ac:dyDescent="0.3">
      <c r="B4" s="19">
        <v>300</v>
      </c>
      <c r="C4" s="19">
        <v>1.8</v>
      </c>
      <c r="D4" s="19">
        <v>0.8</v>
      </c>
      <c r="E4" s="19">
        <v>3</v>
      </c>
    </row>
    <row r="6" spans="1:7" x14ac:dyDescent="0.3">
      <c r="A6" s="10" t="s">
        <v>25</v>
      </c>
    </row>
    <row r="7" spans="1:7" ht="15.6" x14ac:dyDescent="0.35">
      <c r="B7" s="15" t="s">
        <v>3</v>
      </c>
      <c r="C7" s="15" t="s">
        <v>4</v>
      </c>
      <c r="D7" s="15" t="s">
        <v>12</v>
      </c>
      <c r="E7" s="15" t="s">
        <v>13</v>
      </c>
    </row>
    <row r="8" spans="1:7" x14ac:dyDescent="0.3">
      <c r="A8" s="3"/>
      <c r="B8" s="16">
        <f>2*(B4-B9)/(B10-B9)-1</f>
        <v>0.59823885525591636</v>
      </c>
      <c r="C8" s="16">
        <f>2*(C4-C9)/(C10-C9)-1</f>
        <v>-0.62407941082292673</v>
      </c>
      <c r="D8" s="16">
        <f>2*(D4-D9)/(D10-D9)-1</f>
        <v>0.3856412921105048</v>
      </c>
      <c r="E8" s="16">
        <f>2*(E4-E9)/(E10-E9)-1</f>
        <v>0.27916711387785753</v>
      </c>
    </row>
    <row r="9" spans="1:7" x14ac:dyDescent="0.3">
      <c r="A9" s="3" t="s">
        <v>10</v>
      </c>
      <c r="B9" s="1">
        <v>9.6</v>
      </c>
      <c r="C9" s="1">
        <v>1.6826000000000001</v>
      </c>
      <c r="D9" s="1">
        <v>0</v>
      </c>
      <c r="E9" s="1">
        <v>2.0500000000000001E-2</v>
      </c>
    </row>
    <row r="10" spans="1:7" x14ac:dyDescent="0.3">
      <c r="A10" s="3" t="s">
        <v>11</v>
      </c>
      <c r="B10" s="1">
        <v>373</v>
      </c>
      <c r="C10" s="1">
        <v>2.3071999999999999</v>
      </c>
      <c r="D10" s="1">
        <v>1.1547000000000001</v>
      </c>
      <c r="E10" s="1">
        <v>4.6790000000000003</v>
      </c>
    </row>
    <row r="12" spans="1:7" x14ac:dyDescent="0.3">
      <c r="A12" s="10" t="s">
        <v>27</v>
      </c>
    </row>
    <row r="13" spans="1:7" x14ac:dyDescent="0.3">
      <c r="A13" s="14" t="s">
        <v>6</v>
      </c>
      <c r="B13" s="8" cm="1">
        <f t="array" ref="B13">TANH(Net_2!B8*Nets_weights_biases!B11+Net_2!C8*Nets_weights_biases!C11+Net_2!D8*Nets_weights_biases!D11+Net_2!E8*Nets_weights_biases!E11+Nets_weights_biases!F11)*Nets_weights_biases!B13+f_HL(Net_2!B8*Nets_weights_biases!B12+Net_2!C8*Nets_weights_biases!C12+Net_2!D8*Nets_weights_biases!D12+Net_2!E8*Nets_weights_biases!E12+Nets_weights_biases!F12)*Nets_weights_biases!C13+Nets_weights_biases!F13</f>
        <v>-0.71265793281716672</v>
      </c>
    </row>
    <row r="14" spans="1:7" x14ac:dyDescent="0.3">
      <c r="A14" s="10" t="s">
        <v>28</v>
      </c>
    </row>
    <row r="15" spans="1:7" x14ac:dyDescent="0.3">
      <c r="A15" s="3" t="s">
        <v>10</v>
      </c>
      <c r="B15" s="1">
        <v>5.1000000000000004E-3</v>
      </c>
    </row>
    <row r="16" spans="1:7" x14ac:dyDescent="0.3">
      <c r="A16" s="3" t="s">
        <v>11</v>
      </c>
      <c r="B16" s="1">
        <v>4.5400000000000003E-2</v>
      </c>
    </row>
    <row r="18" spans="1:3" x14ac:dyDescent="0.3">
      <c r="A18" s="10" t="s">
        <v>26</v>
      </c>
    </row>
    <row r="19" spans="1:3" x14ac:dyDescent="0.3">
      <c r="A19" s="14" t="s">
        <v>6</v>
      </c>
      <c r="B19" s="11">
        <f>(B13+1)/2*(B16-B15)+B15</f>
        <v>1.0889942653734091E-2</v>
      </c>
    </row>
    <row r="20" spans="1:3" x14ac:dyDescent="0.3">
      <c r="A20" s="13" t="s">
        <v>14</v>
      </c>
      <c r="B20" s="12">
        <f>B19</f>
        <v>1.0889942653734091E-2</v>
      </c>
      <c r="C20" t="s">
        <v>35</v>
      </c>
    </row>
    <row r="22" spans="1:3" x14ac:dyDescent="0.3">
      <c r="A22" s="10" t="s">
        <v>33</v>
      </c>
    </row>
    <row r="23" spans="1:3" x14ac:dyDescent="0.3">
      <c r="A23" s="22" t="s">
        <v>34</v>
      </c>
    </row>
    <row r="24" spans="1:3" x14ac:dyDescent="0.3">
      <c r="A24" s="2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Nomenclature</vt:lpstr>
      <vt:lpstr>Nets_weights_biases</vt:lpstr>
      <vt:lpstr>Activation_functions</vt:lpstr>
      <vt:lpstr>Net_1</vt:lpstr>
      <vt:lpstr>Net_2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Formoso</dc:creator>
  <cp:lastModifiedBy>Ignacio Formoso</cp:lastModifiedBy>
  <dcterms:created xsi:type="dcterms:W3CDTF">2015-06-05T18:17:20Z</dcterms:created>
  <dcterms:modified xsi:type="dcterms:W3CDTF">2026-03-16T14:50:54Z</dcterms:modified>
</cp:coreProperties>
</file>